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5adbc1b1328d64/Documents/GitHub/us-filament-cos/"/>
    </mc:Choice>
  </mc:AlternateContent>
  <xr:revisionPtr revIDLastSave="25" documentId="8_{43F61E5D-CE72-4242-B668-B64B7F72F136}" xr6:coauthVersionLast="47" xr6:coauthVersionMax="47" xr10:uidLastSave="{8EA5A940-2813-40F1-BC6A-F69A41EA1B53}"/>
  <bookViews>
    <workbookView xWindow="2895" yWindow="5295" windowWidth="38700" windowHeight="15345" xr2:uid="{9B57F534-A7CF-4819-AB34-56834F090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R9" i="1"/>
  <c r="R21" i="1"/>
  <c r="R23" i="1"/>
  <c r="R24" i="1"/>
  <c r="R26" i="1"/>
  <c r="C25" i="1"/>
  <c r="R25" i="1" s="1"/>
  <c r="C18" i="1"/>
  <c r="R18" i="1" s="1"/>
  <c r="C15" i="1"/>
  <c r="R15" i="1" s="1"/>
  <c r="C23" i="1"/>
  <c r="C26" i="1"/>
  <c r="C5" i="1"/>
  <c r="R5" i="1" s="1"/>
  <c r="C24" i="1"/>
  <c r="C21" i="1"/>
  <c r="C11" i="1"/>
  <c r="R11" i="1" s="1"/>
  <c r="C10" i="1"/>
  <c r="R10" i="1" s="1"/>
  <c r="C16" i="1"/>
  <c r="R16" i="1" s="1"/>
  <c r="C19" i="1"/>
  <c r="R19" i="1" s="1"/>
  <c r="C22" i="1"/>
  <c r="R22" i="1" s="1"/>
  <c r="C4" i="1"/>
  <c r="R4" i="1" s="1"/>
  <c r="C7" i="1"/>
  <c r="R7" i="1" s="1"/>
  <c r="C8" i="1"/>
  <c r="R8" i="1" s="1"/>
  <c r="C14" i="1"/>
  <c r="R14" i="1" s="1"/>
  <c r="C20" i="1"/>
  <c r="R20" i="1" s="1"/>
  <c r="C3" i="1"/>
  <c r="R3" i="1" s="1"/>
  <c r="C17" i="1"/>
  <c r="R17" i="1" s="1"/>
  <c r="C13" i="1"/>
  <c r="R13" i="1" s="1"/>
  <c r="C12" i="1"/>
  <c r="R12" i="1" s="1"/>
  <c r="C2" i="1"/>
  <c r="R2" i="1" s="1"/>
  <c r="C6" i="1"/>
  <c r="R6" i="1" s="1"/>
  <c r="C27" i="1"/>
  <c r="R27" i="1" s="1"/>
</calcChain>
</file>

<file path=xl/sharedStrings.xml><?xml version="1.0" encoding="utf-8"?>
<sst xmlns="http://schemas.openxmlformats.org/spreadsheetml/2006/main" count="216" uniqueCount="105">
  <si>
    <t>ZYLtech Engineering LLC</t>
  </si>
  <si>
    <t>Polar Filament</t>
  </si>
  <si>
    <t>Atomic Filament</t>
  </si>
  <si>
    <t>https://americanfilament.us</t>
  </si>
  <si>
    <t>https://www.fusionfilaments.com</t>
  </si>
  <si>
    <t>https://www.printedsolid.com</t>
  </si>
  <si>
    <t>https://atomicfilament.com</t>
  </si>
  <si>
    <t>https://www.pushplastic.com</t>
  </si>
  <si>
    <t>https://polarfilament.com</t>
  </si>
  <si>
    <t>https://www.zyltech.com</t>
  </si>
  <si>
    <t>https://www.3dxtech.com</t>
  </si>
  <si>
    <t>https://coex3d.com</t>
  </si>
  <si>
    <t>https://www.ic3dprinters.com</t>
  </si>
  <si>
    <t>https://www.3dfuel.com</t>
  </si>
  <si>
    <t>https://numakers.com</t>
  </si>
  <si>
    <t>https://greengate3d.com</t>
  </si>
  <si>
    <t>https://3dinnovatorsofficial.com/shop</t>
  </si>
  <si>
    <t>3D INNOVATORS LLC</t>
  </si>
  <si>
    <t>American Filament</t>
  </si>
  <si>
    <t>Fusion Filaments</t>
  </si>
  <si>
    <t>GreenGate3D</t>
  </si>
  <si>
    <t>Numakers</t>
  </si>
  <si>
    <t>3D-Fuel</t>
  </si>
  <si>
    <t>Printed Solid</t>
  </si>
  <si>
    <t>IC3D</t>
  </si>
  <si>
    <t>Coex3D</t>
  </si>
  <si>
    <t>3DXTech</t>
  </si>
  <si>
    <t>Push Plastic</t>
  </si>
  <si>
    <t>Company</t>
  </si>
  <si>
    <t>HQ Location</t>
  </si>
  <si>
    <t>Production Location</t>
  </si>
  <si>
    <t>Shipping</t>
  </si>
  <si>
    <t>PLA</t>
  </si>
  <si>
    <t>PETG</t>
  </si>
  <si>
    <t>ABS</t>
  </si>
  <si>
    <t>ASA</t>
  </si>
  <si>
    <t>PCTG</t>
  </si>
  <si>
    <t>PC</t>
  </si>
  <si>
    <t>TPU</t>
  </si>
  <si>
    <t>Tangled</t>
  </si>
  <si>
    <t>https://www.tangledfilament.com/</t>
  </si>
  <si>
    <t>Voxel</t>
  </si>
  <si>
    <t>https://voxelpla.com/</t>
  </si>
  <si>
    <t>https://ambrosiafilament.com/</t>
  </si>
  <si>
    <t>Toner Plastics (Village Plastics)</t>
  </si>
  <si>
    <t>https://www.villageplastics.com/</t>
  </si>
  <si>
    <t>Ambrosia (West 3D)</t>
  </si>
  <si>
    <t>Protopasta</t>
  </si>
  <si>
    <t>https://proto-pasta.com/</t>
  </si>
  <si>
    <t>Filamatrix</t>
  </si>
  <si>
    <t>https://filamatrix.com/</t>
  </si>
  <si>
    <t>Nylon</t>
  </si>
  <si>
    <t>FilaCube</t>
  </si>
  <si>
    <t>https://www.filacube.com/</t>
  </si>
  <si>
    <t>MatterHackers ProSeries</t>
  </si>
  <si>
    <t>https://www.matterhackers.com/store/c/pro-series-filament</t>
  </si>
  <si>
    <t>India</t>
  </si>
  <si>
    <t>Non-US, PHA is US made</t>
  </si>
  <si>
    <t>Houston/Spring, Texas</t>
  </si>
  <si>
    <t>Brighton, Michigan</t>
  </si>
  <si>
    <t>Springdale, Arkansas</t>
  </si>
  <si>
    <t>Grand Rapids, Michigan</t>
  </si>
  <si>
    <t>Kendallville, Indiana</t>
  </si>
  <si>
    <t>Appleton, Wisconsin</t>
  </si>
  <si>
    <t>Columbus, Ohio</t>
  </si>
  <si>
    <t>Newark, Delaware</t>
  </si>
  <si>
    <t>Fargo, North Dakota</t>
  </si>
  <si>
    <t>Richmond, Virgina</t>
  </si>
  <si>
    <t>Bohemia/Long Island, New York</t>
  </si>
  <si>
    <t>Maryland Heights, Missouri</t>
  </si>
  <si>
    <t>Celina, Ohio</t>
  </si>
  <si>
    <t>Huntsville, Alabama</t>
  </si>
  <si>
    <t>Nampa/Boise, Idaho</t>
  </si>
  <si>
    <t>Garden Grove, California</t>
  </si>
  <si>
    <t>Beaverton, Oregon</t>
  </si>
  <si>
    <t>Vancouver, Washington</t>
  </si>
  <si>
    <t>Chester, Virgina</t>
  </si>
  <si>
    <t>Houston/Katy, Texas</t>
  </si>
  <si>
    <t>Lake Forest, California</t>
  </si>
  <si>
    <t>East Longmeadow, Massachusetts</t>
  </si>
  <si>
    <t>Barberton, Ohio</t>
  </si>
  <si>
    <t>CF/GF Blends</t>
  </si>
  <si>
    <t>X</t>
  </si>
  <si>
    <t>Other</t>
  </si>
  <si>
    <t>Peek, PEI, Ultem</t>
  </si>
  <si>
    <t>PHA</t>
  </si>
  <si>
    <t>HIPS</t>
  </si>
  <si>
    <t>Kevlar Composite</t>
  </si>
  <si>
    <t>Paramount3D</t>
  </si>
  <si>
    <t>Lumas Polymers</t>
  </si>
  <si>
    <t>https://www.paramount-3d.com/</t>
  </si>
  <si>
    <t>TPE</t>
  </si>
  <si>
    <t>FlexPLA, PVA</t>
  </si>
  <si>
    <t>Bensenville/Wood Dale, Illinois</t>
  </si>
  <si>
    <t>https://lumaspolymers.com/</t>
  </si>
  <si>
    <t>Sioux Fall, South Dakota</t>
  </si>
  <si>
    <t>Chaska, Minnesota</t>
  </si>
  <si>
    <t>Two Step Process (Luke's Laboratory)</t>
  </si>
  <si>
    <t>https://www.lukeslabonline.com/</t>
  </si>
  <si>
    <t>Wrightstown, WI</t>
  </si>
  <si>
    <t>PPC-CF, PET-CF, ABS-FR</t>
  </si>
  <si>
    <t>China</t>
  </si>
  <si>
    <t>Dancyn 3D</t>
  </si>
  <si>
    <t>https://www.dancyn3dprints.com/</t>
  </si>
  <si>
    <t>Whippany,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</si>
</sst>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intedsolid.com/" TargetMode="External"/><Relationship Id="rId13" Type="http://schemas.openxmlformats.org/officeDocument/2006/relationships/hyperlink" Target="https://3dinnovatorsofficial.com/shop" TargetMode="External"/><Relationship Id="rId18" Type="http://schemas.openxmlformats.org/officeDocument/2006/relationships/hyperlink" Target="https://www.villageplastics.com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pushplastic.com/" TargetMode="External"/><Relationship Id="rId21" Type="http://schemas.openxmlformats.org/officeDocument/2006/relationships/hyperlink" Target="https://www.filacube.com/" TargetMode="External"/><Relationship Id="rId7" Type="http://schemas.openxmlformats.org/officeDocument/2006/relationships/hyperlink" Target="https://www.ic3dprinters.com/" TargetMode="External"/><Relationship Id="rId12" Type="http://schemas.openxmlformats.org/officeDocument/2006/relationships/hyperlink" Target="https://www.fusionfilaments.com/" TargetMode="External"/><Relationship Id="rId17" Type="http://schemas.openxmlformats.org/officeDocument/2006/relationships/hyperlink" Target="https://ambrosiafilament.com/" TargetMode="External"/><Relationship Id="rId25" Type="http://schemas.openxmlformats.org/officeDocument/2006/relationships/hyperlink" Target="https://www.dancyn3dprints.com/" TargetMode="External"/><Relationship Id="rId2" Type="http://schemas.openxmlformats.org/officeDocument/2006/relationships/hyperlink" Target="https://polarfilament.com/" TargetMode="External"/><Relationship Id="rId16" Type="http://schemas.openxmlformats.org/officeDocument/2006/relationships/hyperlink" Target="https://www.tangledfilament.com/" TargetMode="External"/><Relationship Id="rId20" Type="http://schemas.openxmlformats.org/officeDocument/2006/relationships/hyperlink" Target="https://filamatrix.com/" TargetMode="External"/><Relationship Id="rId1" Type="http://schemas.openxmlformats.org/officeDocument/2006/relationships/hyperlink" Target="https://www.zyltech.com/" TargetMode="External"/><Relationship Id="rId6" Type="http://schemas.openxmlformats.org/officeDocument/2006/relationships/hyperlink" Target="https://coex3d.com/" TargetMode="External"/><Relationship Id="rId11" Type="http://schemas.openxmlformats.org/officeDocument/2006/relationships/hyperlink" Target="https://greengate3d.com/" TargetMode="External"/><Relationship Id="rId24" Type="http://schemas.openxmlformats.org/officeDocument/2006/relationships/hyperlink" Target="https://lumaspolymers.com/" TargetMode="External"/><Relationship Id="rId5" Type="http://schemas.openxmlformats.org/officeDocument/2006/relationships/hyperlink" Target="https://atomicfilament.com/" TargetMode="External"/><Relationship Id="rId15" Type="http://schemas.openxmlformats.org/officeDocument/2006/relationships/hyperlink" Target="https://voxelpla.com/" TargetMode="External"/><Relationship Id="rId23" Type="http://schemas.openxmlformats.org/officeDocument/2006/relationships/hyperlink" Target="https://www.paramount-3d.com/" TargetMode="External"/><Relationship Id="rId10" Type="http://schemas.openxmlformats.org/officeDocument/2006/relationships/hyperlink" Target="https://numakers.com/" TargetMode="External"/><Relationship Id="rId19" Type="http://schemas.openxmlformats.org/officeDocument/2006/relationships/hyperlink" Target="https://proto-pasta.com/" TargetMode="External"/><Relationship Id="rId4" Type="http://schemas.openxmlformats.org/officeDocument/2006/relationships/hyperlink" Target="https://www.3dxtech.com/" TargetMode="External"/><Relationship Id="rId9" Type="http://schemas.openxmlformats.org/officeDocument/2006/relationships/hyperlink" Target="https://www.3dfuel.com/" TargetMode="External"/><Relationship Id="rId14" Type="http://schemas.openxmlformats.org/officeDocument/2006/relationships/hyperlink" Target="https://americanfilament.us/" TargetMode="External"/><Relationship Id="rId22" Type="http://schemas.openxmlformats.org/officeDocument/2006/relationships/hyperlink" Target="https://www.matterhackers.com/store/c/pro-series-fila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59DF-FE25-4F2F-AF48-72493BDAE325}">
  <dimension ref="A1:R27"/>
  <sheetViews>
    <sheetView tabSelected="1" workbookViewId="0">
      <selection activeCell="H2" sqref="H2"/>
    </sheetView>
  </sheetViews>
  <sheetFormatPr defaultRowHeight="15" x14ac:dyDescent="0.25"/>
  <cols>
    <col min="1" max="1" width="29.28515625" bestFit="1" customWidth="1"/>
    <col min="2" max="2" width="35.5703125" bestFit="1" customWidth="1"/>
    <col min="3" max="3" width="80.42578125" bestFit="1" customWidth="1"/>
    <col min="4" max="4" width="31.85546875" bestFit="1" customWidth="1"/>
    <col min="5" max="5" width="22.85546875" bestFit="1" customWidth="1"/>
    <col min="6" max="6" width="8.7109375" bestFit="1" customWidth="1"/>
    <col min="11" max="11" width="12.5703125" bestFit="1" customWidth="1"/>
    <col min="16" max="16" width="21.85546875" bestFit="1" customWidth="1"/>
  </cols>
  <sheetData>
    <row r="1" spans="1:18" x14ac:dyDescent="0.25"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35</v>
      </c>
      <c r="J1" t="s">
        <v>34</v>
      </c>
      <c r="K1" t="s">
        <v>81</v>
      </c>
      <c r="L1" t="s">
        <v>37</v>
      </c>
      <c r="M1" t="s">
        <v>38</v>
      </c>
      <c r="N1" t="s">
        <v>51</v>
      </c>
      <c r="O1" t="s">
        <v>36</v>
      </c>
      <c r="P1" t="s">
        <v>83</v>
      </c>
    </row>
    <row r="2" spans="1:18" x14ac:dyDescent="0.25">
      <c r="A2" t="s">
        <v>17</v>
      </c>
      <c r="B2" s="1" t="s">
        <v>16</v>
      </c>
      <c r="C2" t="str">
        <f t="shared" ref="C2:C27" si="0">"["&amp;A2&amp;"]"&amp;"("&amp;B2&amp;")"</f>
        <v>[3D INNOVATORS LLC](https://3dinnovatorsofficial.com/shop)</v>
      </c>
      <c r="D2" t="s">
        <v>70</v>
      </c>
      <c r="G2" t="s">
        <v>82</v>
      </c>
      <c r="R2" t="str">
        <f>"| "&amp;$C2&amp;" | "&amp;$D2&amp;" | "&amp;$E2&amp;" | "&amp;$F2&amp;" | "&amp;$G2&amp;" | "&amp;$H2&amp;" | "&amp;$I2&amp;" | "&amp;$J2&amp;" | "&amp;$K2&amp;" | "&amp;$L2&amp;" | "&amp;$M2&amp;" | "&amp;$N2&amp;" | "&amp;$O2&amp;" | "&amp;$P2&amp;" |"</f>
        <v>| [3D INNOVATORS LLC](https://3dinnovatorsofficial.com/shop) | Celina, Ohio |  |  | X |  |  |  |  |  |  |  |  |  |</v>
      </c>
    </row>
    <row r="3" spans="1:18" x14ac:dyDescent="0.25">
      <c r="A3" t="s">
        <v>22</v>
      </c>
      <c r="B3" s="1" t="s">
        <v>13</v>
      </c>
      <c r="C3" t="str">
        <f t="shared" si="0"/>
        <v>[3D-Fuel](https://www.3dfuel.com)</v>
      </c>
      <c r="D3" t="s">
        <v>66</v>
      </c>
      <c r="G3" t="s">
        <v>82</v>
      </c>
      <c r="H3" t="s">
        <v>82</v>
      </c>
      <c r="J3" t="s">
        <v>82</v>
      </c>
      <c r="R3" t="str">
        <f t="shared" ref="R3:R27" si="1">"| "&amp;$C3&amp;" | "&amp;$D3&amp;" | "&amp;$E3&amp;" | "&amp;$F3&amp;" | "&amp;$G3&amp;" | "&amp;$H3&amp;" | "&amp;$I3&amp;" | "&amp;$J3&amp;" | "&amp;$K3&amp;" | "&amp;$L3&amp;" | "&amp;$M3&amp;" | "&amp;$N3&amp;" | "&amp;$O3&amp;" | "&amp;$P3&amp;" |"</f>
        <v>| [3D-Fuel](https://www.3dfuel.com) | Fargo, North Dakota |  |  | X | X |  | X |  |  |  |  |  |  |</v>
      </c>
    </row>
    <row r="4" spans="1:18" x14ac:dyDescent="0.25">
      <c r="A4" t="s">
        <v>26</v>
      </c>
      <c r="B4" s="1" t="s">
        <v>10</v>
      </c>
      <c r="C4" t="str">
        <f t="shared" si="0"/>
        <v>[3DXTech](https://www.3dxtech.com)</v>
      </c>
      <c r="D4" t="s">
        <v>61</v>
      </c>
      <c r="G4" t="s">
        <v>82</v>
      </c>
      <c r="H4" t="s">
        <v>82</v>
      </c>
      <c r="I4" t="s">
        <v>82</v>
      </c>
      <c r="J4" t="s">
        <v>82</v>
      </c>
      <c r="K4" t="s">
        <v>82</v>
      </c>
      <c r="L4" t="s">
        <v>82</v>
      </c>
      <c r="N4" t="s">
        <v>82</v>
      </c>
      <c r="P4" t="s">
        <v>84</v>
      </c>
      <c r="R4" t="str">
        <f t="shared" si="1"/>
        <v>| [3DXTech](https://www.3dxtech.com) | Grand Rapids, Michigan |  |  | X | X | X | X | X | X |  | X |  | Peek, PEI, Ultem |</v>
      </c>
    </row>
    <row r="5" spans="1:18" x14ac:dyDescent="0.25">
      <c r="A5" t="s">
        <v>46</v>
      </c>
      <c r="B5" s="1" t="s">
        <v>43</v>
      </c>
      <c r="C5" t="str">
        <f t="shared" si="0"/>
        <v>[Ambrosia (West 3D)](https://ambrosiafilament.com/)</v>
      </c>
      <c r="D5" t="s">
        <v>74</v>
      </c>
      <c r="E5" t="s">
        <v>57</v>
      </c>
      <c r="G5" t="s">
        <v>82</v>
      </c>
      <c r="H5" t="s">
        <v>82</v>
      </c>
      <c r="I5" t="s">
        <v>82</v>
      </c>
      <c r="J5" t="s">
        <v>82</v>
      </c>
      <c r="P5" t="s">
        <v>85</v>
      </c>
      <c r="R5" t="str">
        <f t="shared" si="1"/>
        <v>| [Ambrosia (West 3D)](https://ambrosiafilament.com/) | Beaverton, Oregon | Non-US, PHA is US made |  | X | X | X | X |  |  |  |  |  | PHA |</v>
      </c>
    </row>
    <row r="6" spans="1:18" x14ac:dyDescent="0.25">
      <c r="A6" t="s">
        <v>18</v>
      </c>
      <c r="B6" s="1" t="s">
        <v>3</v>
      </c>
      <c r="C6" t="str">
        <f t="shared" si="0"/>
        <v>[American Filament](https://americanfilament.us)</v>
      </c>
      <c r="D6" t="s">
        <v>71</v>
      </c>
      <c r="G6" t="s">
        <v>82</v>
      </c>
      <c r="H6" t="s">
        <v>82</v>
      </c>
      <c r="J6" t="s">
        <v>82</v>
      </c>
      <c r="M6" t="s">
        <v>82</v>
      </c>
      <c r="R6" t="str">
        <f t="shared" si="1"/>
        <v>| [American Filament](https://americanfilament.us) | Huntsville, Alabama |  |  | X | X |  | X |  |  | X |  |  |  |</v>
      </c>
    </row>
    <row r="7" spans="1:18" x14ac:dyDescent="0.25">
      <c r="A7" t="s">
        <v>2</v>
      </c>
      <c r="B7" s="1" t="s">
        <v>6</v>
      </c>
      <c r="C7" t="str">
        <f t="shared" si="0"/>
        <v>[Atomic Filament](https://atomicfilament.com)</v>
      </c>
      <c r="D7" t="s">
        <v>62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N7" t="s">
        <v>82</v>
      </c>
      <c r="R7" t="str">
        <f t="shared" si="1"/>
        <v>| [Atomic Filament](https://atomicfilament.com) | Kendallville, Indiana |  |  | X | X | X | X | X |  |  | X |  |  |</v>
      </c>
    </row>
    <row r="8" spans="1:18" x14ac:dyDescent="0.25">
      <c r="A8" t="s">
        <v>25</v>
      </c>
      <c r="B8" s="1" t="s">
        <v>11</v>
      </c>
      <c r="C8" t="str">
        <f t="shared" si="0"/>
        <v>[Coex3D](https://coex3d.com)</v>
      </c>
      <c r="D8" t="s">
        <v>63</v>
      </c>
      <c r="G8" t="s">
        <v>82</v>
      </c>
      <c r="H8" t="s">
        <v>82</v>
      </c>
      <c r="I8" t="s">
        <v>82</v>
      </c>
      <c r="J8" t="s">
        <v>82</v>
      </c>
      <c r="M8" t="s">
        <v>82</v>
      </c>
      <c r="N8" t="s">
        <v>82</v>
      </c>
      <c r="R8" t="str">
        <f t="shared" si="1"/>
        <v>| [Coex3D](https://coex3d.com) | Appleton, Wisconsin |  |  | X | X | X | X |  |  | X | X |  |  |</v>
      </c>
    </row>
    <row r="9" spans="1:18" x14ac:dyDescent="0.25">
      <c r="A9" t="s">
        <v>102</v>
      </c>
      <c r="B9" s="1" t="s">
        <v>103</v>
      </c>
      <c r="C9" t="str">
        <f t="shared" si="0"/>
        <v>[Dancyn 3D](https://www.dancyn3dprints.com/)</v>
      </c>
      <c r="D9" t="s">
        <v>104</v>
      </c>
      <c r="G9" t="s">
        <v>82</v>
      </c>
      <c r="H9" t="s">
        <v>82</v>
      </c>
      <c r="R9" t="str">
        <f t="shared" si="1"/>
        <v>| [Dancyn 3D](https://www.dancyn3dprints.com/) | Whippany, NJ |  |  | X | X |  |  |  |  |  |  |  |  |</v>
      </c>
    </row>
    <row r="10" spans="1:18" x14ac:dyDescent="0.25">
      <c r="A10" t="s">
        <v>52</v>
      </c>
      <c r="B10" s="1" t="s">
        <v>53</v>
      </c>
      <c r="C10" t="str">
        <f t="shared" si="0"/>
        <v>[FilaCube](https://www.filacube.com/)</v>
      </c>
      <c r="D10" t="s">
        <v>77</v>
      </c>
      <c r="G10" t="s">
        <v>82</v>
      </c>
      <c r="H10" t="s">
        <v>82</v>
      </c>
      <c r="J10" t="s">
        <v>82</v>
      </c>
      <c r="M10" t="s">
        <v>82</v>
      </c>
      <c r="R10" t="str">
        <f t="shared" si="1"/>
        <v>| [FilaCube](https://www.filacube.com/) | Houston/Katy, Texas |  |  | X | X |  | X |  |  | X |  |  |  |</v>
      </c>
    </row>
    <row r="11" spans="1:18" x14ac:dyDescent="0.25">
      <c r="A11" t="s">
        <v>49</v>
      </c>
      <c r="B11" s="1" t="s">
        <v>50</v>
      </c>
      <c r="C11" t="str">
        <f t="shared" si="0"/>
        <v>[Filamatrix](https://filamatrix.com/)</v>
      </c>
      <c r="D11" t="s">
        <v>76</v>
      </c>
      <c r="G11" t="s">
        <v>82</v>
      </c>
      <c r="H11" t="s">
        <v>82</v>
      </c>
      <c r="I11" t="s">
        <v>82</v>
      </c>
      <c r="J11" t="s">
        <v>82</v>
      </c>
      <c r="L11" t="s">
        <v>82</v>
      </c>
      <c r="N11" t="s">
        <v>82</v>
      </c>
      <c r="P11" t="s">
        <v>87</v>
      </c>
      <c r="R11" t="str">
        <f t="shared" si="1"/>
        <v>| [Filamatrix](https://filamatrix.com/) | Chester, Virgina |  |  | X | X | X | X |  | X |  | X |  | Kevlar Composite |</v>
      </c>
    </row>
    <row r="12" spans="1:18" x14ac:dyDescent="0.25">
      <c r="A12" t="s">
        <v>19</v>
      </c>
      <c r="B12" s="1" t="s">
        <v>4</v>
      </c>
      <c r="C12" t="str">
        <f t="shared" si="0"/>
        <v>[Fusion Filaments](https://www.fusionfilaments.com)</v>
      </c>
      <c r="D12" t="s">
        <v>69</v>
      </c>
      <c r="G12" t="s">
        <v>82</v>
      </c>
      <c r="H12" t="s">
        <v>82</v>
      </c>
      <c r="I12" t="s">
        <v>82</v>
      </c>
      <c r="J12" t="s">
        <v>82</v>
      </c>
      <c r="O12" t="s">
        <v>82</v>
      </c>
      <c r="R12" t="str">
        <f t="shared" si="1"/>
        <v>| [Fusion Filaments](https://www.fusionfilaments.com) | Maryland Heights, Missouri |  |  | X | X | X | X |  |  |  |  | X |  |</v>
      </c>
    </row>
    <row r="13" spans="1:18" x14ac:dyDescent="0.25">
      <c r="A13" t="s">
        <v>20</v>
      </c>
      <c r="B13" s="1" t="s">
        <v>15</v>
      </c>
      <c r="C13" t="str">
        <f t="shared" si="0"/>
        <v>[GreenGate3D](https://greengate3d.com)</v>
      </c>
      <c r="D13" t="s">
        <v>68</v>
      </c>
      <c r="H13" t="s">
        <v>82</v>
      </c>
      <c r="R13" t="str">
        <f t="shared" si="1"/>
        <v>| [GreenGate3D](https://greengate3d.com) | Bohemia/Long Island, New York |  |  |  | X |  |  |  |  |  |  |  |  |</v>
      </c>
    </row>
    <row r="14" spans="1:18" x14ac:dyDescent="0.25">
      <c r="A14" t="s">
        <v>24</v>
      </c>
      <c r="B14" s="1" t="s">
        <v>12</v>
      </c>
      <c r="C14" t="str">
        <f t="shared" si="0"/>
        <v>[IC3D](https://www.ic3dprinters.com)</v>
      </c>
      <c r="D14" t="s">
        <v>64</v>
      </c>
      <c r="G14" t="s">
        <v>82</v>
      </c>
      <c r="H14" t="s">
        <v>82</v>
      </c>
      <c r="J14" t="s">
        <v>82</v>
      </c>
      <c r="M14" t="s">
        <v>82</v>
      </c>
      <c r="N14" t="s">
        <v>82</v>
      </c>
      <c r="R14" t="str">
        <f t="shared" si="1"/>
        <v>| [IC3D](https://www.ic3dprinters.com) | Columbus, Ohio |  |  | X | X |  | X |  |  | X | X |  |  |</v>
      </c>
    </row>
    <row r="15" spans="1:18" x14ac:dyDescent="0.25">
      <c r="A15" t="s">
        <v>89</v>
      </c>
      <c r="B15" s="1" t="s">
        <v>94</v>
      </c>
      <c r="C15" t="str">
        <f t="shared" si="0"/>
        <v>[Lumas Polymers](https://lumaspolymers.com/)</v>
      </c>
      <c r="D15" t="s">
        <v>95</v>
      </c>
      <c r="E15" t="s">
        <v>96</v>
      </c>
      <c r="G15" t="s">
        <v>82</v>
      </c>
      <c r="H15" t="s">
        <v>82</v>
      </c>
      <c r="J15" t="s">
        <v>82</v>
      </c>
      <c r="K15" t="s">
        <v>82</v>
      </c>
      <c r="L15" t="s">
        <v>82</v>
      </c>
      <c r="M15" t="s">
        <v>82</v>
      </c>
      <c r="N15" t="s">
        <v>82</v>
      </c>
      <c r="P15" t="s">
        <v>91</v>
      </c>
      <c r="R15" t="str">
        <f t="shared" si="1"/>
        <v>| [Lumas Polymers](https://lumaspolymers.com/) | Sioux Fall, South Dakota | Chaska, Minnesota |  | X | X |  | X | X | X | X | X |  | TPE |</v>
      </c>
    </row>
    <row r="16" spans="1:18" x14ac:dyDescent="0.25">
      <c r="A16" t="s">
        <v>54</v>
      </c>
      <c r="B16" s="1" t="s">
        <v>55</v>
      </c>
      <c r="C16" t="str">
        <f t="shared" si="0"/>
        <v>[MatterHackers ProSeries](https://www.matterhackers.com/store/c/pro-series-filament)</v>
      </c>
      <c r="D16" t="s">
        <v>78</v>
      </c>
      <c r="G16" t="s">
        <v>82</v>
      </c>
      <c r="H16" t="s">
        <v>82</v>
      </c>
      <c r="J16" t="s">
        <v>82</v>
      </c>
      <c r="M16" t="s">
        <v>82</v>
      </c>
      <c r="N16" t="s">
        <v>82</v>
      </c>
      <c r="R16" t="str">
        <f t="shared" si="1"/>
        <v>| [MatterHackers ProSeries](https://www.matterhackers.com/store/c/pro-series-filament) | Lake Forest, California |  |  | X | X |  | X |  |  | X | X |  |  |</v>
      </c>
    </row>
    <row r="17" spans="1:18" x14ac:dyDescent="0.25">
      <c r="A17" t="s">
        <v>21</v>
      </c>
      <c r="B17" s="1" t="s">
        <v>14</v>
      </c>
      <c r="C17" t="str">
        <f t="shared" si="0"/>
        <v>[Numakers](https://numakers.com)</v>
      </c>
      <c r="D17" t="s">
        <v>67</v>
      </c>
      <c r="E17" t="s">
        <v>56</v>
      </c>
      <c r="G17" t="s">
        <v>82</v>
      </c>
      <c r="H17" t="s">
        <v>82</v>
      </c>
      <c r="I17" t="s">
        <v>82</v>
      </c>
      <c r="J17" t="s">
        <v>82</v>
      </c>
      <c r="M17" t="s">
        <v>82</v>
      </c>
      <c r="R17" t="str">
        <f t="shared" si="1"/>
        <v>| [Numakers](https://numakers.com) | Richmond, Virgina | India |  | X | X | X | X |  |  | X |  |  |  |</v>
      </c>
    </row>
    <row r="18" spans="1:18" x14ac:dyDescent="0.25">
      <c r="A18" t="s">
        <v>88</v>
      </c>
      <c r="B18" s="1" t="s">
        <v>90</v>
      </c>
      <c r="C18" t="str">
        <f t="shared" si="0"/>
        <v>[Paramount3D](https://www.paramount-3d.com/)</v>
      </c>
      <c r="D18" t="s">
        <v>93</v>
      </c>
      <c r="G18" t="s">
        <v>82</v>
      </c>
      <c r="H18" t="s">
        <v>82</v>
      </c>
      <c r="I18" t="s">
        <v>82</v>
      </c>
      <c r="J18" t="s">
        <v>82</v>
      </c>
      <c r="M18" t="s">
        <v>82</v>
      </c>
      <c r="P18" t="s">
        <v>92</v>
      </c>
      <c r="R18" t="str">
        <f t="shared" si="1"/>
        <v>| [Paramount3D](https://www.paramount-3d.com/) | Bensenville/Wood Dale, Illinois |  |  | X | X | X | X |  |  | X |  |  | FlexPLA, PVA |</v>
      </c>
    </row>
    <row r="19" spans="1:18" x14ac:dyDescent="0.25">
      <c r="A19" t="s">
        <v>1</v>
      </c>
      <c r="B19" s="1" t="s">
        <v>8</v>
      </c>
      <c r="C19" t="str">
        <f t="shared" si="0"/>
        <v>[Polar Filament](https://polarfilament.com)</v>
      </c>
      <c r="D19" t="s">
        <v>59</v>
      </c>
      <c r="G19" t="s">
        <v>82</v>
      </c>
      <c r="H19" t="s">
        <v>82</v>
      </c>
      <c r="R19" t="str">
        <f t="shared" si="1"/>
        <v>| [Polar Filament](https://polarfilament.com) | Brighton, Michigan |  |  | X | X |  |  |  |  |  |  |  |  |</v>
      </c>
    </row>
    <row r="20" spans="1:18" x14ac:dyDescent="0.25">
      <c r="A20" t="s">
        <v>23</v>
      </c>
      <c r="B20" s="1" t="s">
        <v>5</v>
      </c>
      <c r="C20" t="str">
        <f t="shared" si="0"/>
        <v>[Printed Solid](https://www.printedsolid.com)</v>
      </c>
      <c r="D20" t="s">
        <v>65</v>
      </c>
      <c r="G20" t="s">
        <v>82</v>
      </c>
      <c r="H20" t="s">
        <v>82</v>
      </c>
      <c r="I20" t="s">
        <v>82</v>
      </c>
      <c r="J20" t="s">
        <v>82</v>
      </c>
      <c r="R20" t="str">
        <f t="shared" si="1"/>
        <v>| [Printed Solid](https://www.printedsolid.com) | Newark, Delaware |  |  | X | X | X | X |  |  |  |  |  |  |</v>
      </c>
    </row>
    <row r="21" spans="1:18" x14ac:dyDescent="0.25">
      <c r="A21" t="s">
        <v>47</v>
      </c>
      <c r="B21" s="1" t="s">
        <v>48</v>
      </c>
      <c r="C21" t="str">
        <f t="shared" si="0"/>
        <v>[Protopasta](https://proto-pasta.com/)</v>
      </c>
      <c r="D21" t="s">
        <v>75</v>
      </c>
      <c r="G21" t="s">
        <v>82</v>
      </c>
      <c r="H21" t="s">
        <v>82</v>
      </c>
      <c r="K21" t="s">
        <v>82</v>
      </c>
      <c r="R21" t="str">
        <f t="shared" si="1"/>
        <v>| [Protopasta](https://proto-pasta.com/) | Vancouver, Washington |  |  | X | X |  |  | X |  |  |  |  |  |</v>
      </c>
    </row>
    <row r="22" spans="1:18" x14ac:dyDescent="0.25">
      <c r="A22" t="s">
        <v>27</v>
      </c>
      <c r="B22" s="1" t="s">
        <v>7</v>
      </c>
      <c r="C22" t="str">
        <f t="shared" si="0"/>
        <v>[Push Plastic](https://www.pushplastic.com)</v>
      </c>
      <c r="D22" t="s">
        <v>60</v>
      </c>
      <c r="G22" t="s">
        <v>82</v>
      </c>
      <c r="H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  <c r="R22" t="str">
        <f t="shared" si="1"/>
        <v>| [Push Plastic](https://www.pushplastic.com) | Springdale, Arkansas |  |  | X | X |  | X | X | X | X | X |  |  |</v>
      </c>
    </row>
    <row r="23" spans="1:18" x14ac:dyDescent="0.25">
      <c r="A23" t="s">
        <v>39</v>
      </c>
      <c r="B23" s="1" t="s">
        <v>40</v>
      </c>
      <c r="C23" t="str">
        <f t="shared" si="0"/>
        <v>[Tangled](https://www.tangledfilament.com/)</v>
      </c>
      <c r="D23" t="s">
        <v>72</v>
      </c>
      <c r="G23" t="s">
        <v>82</v>
      </c>
      <c r="O23" t="s">
        <v>82</v>
      </c>
      <c r="R23" t="str">
        <f t="shared" si="1"/>
        <v>| [Tangled](https://www.tangledfilament.com/) | Nampa/Boise, Idaho |  |  | X |  |  |  |  |  |  |  | X |  |</v>
      </c>
    </row>
    <row r="24" spans="1:18" x14ac:dyDescent="0.25">
      <c r="A24" t="s">
        <v>44</v>
      </c>
      <c r="B24" s="1" t="s">
        <v>45</v>
      </c>
      <c r="C24" t="str">
        <f t="shared" si="0"/>
        <v>[Toner Plastics (Village Plastics)](https://www.villageplastics.com/)</v>
      </c>
      <c r="D24" t="s">
        <v>79</v>
      </c>
      <c r="E24" t="s">
        <v>80</v>
      </c>
      <c r="G24" t="s">
        <v>82</v>
      </c>
      <c r="H24" t="s">
        <v>82</v>
      </c>
      <c r="I24" t="s">
        <v>82</v>
      </c>
      <c r="J24" t="s">
        <v>82</v>
      </c>
      <c r="L24" t="s">
        <v>82</v>
      </c>
      <c r="M24" t="s">
        <v>82</v>
      </c>
      <c r="P24" t="s">
        <v>86</v>
      </c>
      <c r="R24" t="str">
        <f t="shared" si="1"/>
        <v>| [Toner Plastics (Village Plastics)](https://www.villageplastics.com/) | East Longmeadow, Massachusetts | Barberton, Ohio |  | X | X | X | X |  | X | X |  |  | HIPS |</v>
      </c>
    </row>
    <row r="25" spans="1:18" x14ac:dyDescent="0.25">
      <c r="A25" t="s">
        <v>97</v>
      </c>
      <c r="B25" t="s">
        <v>98</v>
      </c>
      <c r="C25" t="str">
        <f t="shared" si="0"/>
        <v>[Two Step Process (Luke's Laboratory)](https://www.lukeslabonline.com/)</v>
      </c>
      <c r="D25" t="s">
        <v>99</v>
      </c>
      <c r="E25" t="s">
        <v>101</v>
      </c>
      <c r="I25" t="s">
        <v>82</v>
      </c>
      <c r="J25" t="s">
        <v>82</v>
      </c>
      <c r="K25" t="s">
        <v>82</v>
      </c>
      <c r="P25" t="s">
        <v>100</v>
      </c>
      <c r="R25" t="str">
        <f t="shared" si="1"/>
        <v>| [Two Step Process (Luke's Laboratory)](https://www.lukeslabonline.com/) | Wrightstown, WI | China |  |  |  | X | X | X |  |  |  |  | PPC-CF, PET-CF, ABS-FR |</v>
      </c>
    </row>
    <row r="26" spans="1:18" x14ac:dyDescent="0.25">
      <c r="A26" t="s">
        <v>41</v>
      </c>
      <c r="B26" s="1" t="s">
        <v>42</v>
      </c>
      <c r="C26" t="str">
        <f t="shared" si="0"/>
        <v>[Voxel](https://voxelpla.com/)</v>
      </c>
      <c r="D26" t="s">
        <v>73</v>
      </c>
      <c r="G26" t="s">
        <v>82</v>
      </c>
      <c r="H26" t="s">
        <v>82</v>
      </c>
      <c r="J26" t="s">
        <v>82</v>
      </c>
      <c r="M26" t="s">
        <v>82</v>
      </c>
      <c r="R26" t="str">
        <f t="shared" si="1"/>
        <v>| [Voxel](https://voxelpla.com/) | Garden Grove, California |  |  | X | X |  | X |  |  | X |  |  |  |</v>
      </c>
    </row>
    <row r="27" spans="1:18" x14ac:dyDescent="0.25">
      <c r="A27" t="s">
        <v>0</v>
      </c>
      <c r="B27" s="1" t="s">
        <v>9</v>
      </c>
      <c r="C27" t="str">
        <f t="shared" si="0"/>
        <v>[ZYLtech Engineering LLC](https://www.zyltech.com)</v>
      </c>
      <c r="D27" t="s">
        <v>58</v>
      </c>
      <c r="G27" t="s">
        <v>82</v>
      </c>
      <c r="H27" t="s">
        <v>82</v>
      </c>
      <c r="J27" t="s">
        <v>82</v>
      </c>
      <c r="K27" t="s">
        <v>82</v>
      </c>
      <c r="M27" t="s">
        <v>82</v>
      </c>
      <c r="R27" t="str">
        <f t="shared" si="1"/>
        <v>| [ZYLtech Engineering LLC](https://www.zyltech.com) | Houston/Spring, Texas |  |  | X | X |  | X | X |  | X |  |  |  |</v>
      </c>
    </row>
  </sheetData>
  <sortState xmlns:xlrd2="http://schemas.microsoft.com/office/spreadsheetml/2017/richdata2" ref="A2:P27">
    <sortCondition ref="A2:A27"/>
  </sortState>
  <hyperlinks>
    <hyperlink ref="B27" r:id="rId1" xr:uid="{AD849A97-182F-461A-A5F7-8599BDB61E47}"/>
    <hyperlink ref="B19" r:id="rId2" xr:uid="{D9F0C2C7-381A-4218-B772-BD3F900BF8D2}"/>
    <hyperlink ref="B22" r:id="rId3" xr:uid="{FB56925B-0B62-44BA-927F-C2AC4732FB38}"/>
    <hyperlink ref="B4" r:id="rId4" xr:uid="{54D0229B-8293-478F-B28C-C2D9A0D38CA8}"/>
    <hyperlink ref="B7" r:id="rId5" xr:uid="{1486443F-40B3-4386-9E79-00457D4E63D8}"/>
    <hyperlink ref="B8" r:id="rId6" xr:uid="{61C7384B-50F0-4BBD-BF3D-155F05E6AF11}"/>
    <hyperlink ref="B14" r:id="rId7" xr:uid="{2CE19BAF-EB88-42C3-B7DE-F8B738AF3D58}"/>
    <hyperlink ref="B20" r:id="rId8" xr:uid="{6C4BF50A-C8CE-431A-9DF2-FA24A40FE5C4}"/>
    <hyperlink ref="B3" r:id="rId9" xr:uid="{B903C235-2119-4640-8F19-A55E0B11DE36}"/>
    <hyperlink ref="B17" r:id="rId10" xr:uid="{81F216F2-0FDA-4DBA-A975-5DEFAB9F0196}"/>
    <hyperlink ref="B13" r:id="rId11" xr:uid="{E6F99A8F-64E3-4A53-BDF6-5AA09ED63B83}"/>
    <hyperlink ref="B12" r:id="rId12" xr:uid="{53A7D4AE-63EA-45E1-B664-AD57B74F8528}"/>
    <hyperlink ref="B2" r:id="rId13" xr:uid="{A33A9F9D-F79F-4541-BAA5-7DFAE51479AC}"/>
    <hyperlink ref="B6" r:id="rId14" xr:uid="{436E6A2B-7251-4D2D-A8FA-0B2FF136CA1C}"/>
    <hyperlink ref="B26" r:id="rId15" xr:uid="{0F2105CB-BF6F-4504-86C0-C6E5C69D7629}"/>
    <hyperlink ref="B23" r:id="rId16" xr:uid="{4C1CB914-6529-4C3A-9ABD-2EA3A7D23E01}"/>
    <hyperlink ref="B5" r:id="rId17" xr:uid="{668CAE63-25B5-4184-BDB9-008B3ABAD465}"/>
    <hyperlink ref="B24" r:id="rId18" xr:uid="{7F78273B-0909-4E46-979C-EA3A2A35FFED}"/>
    <hyperlink ref="B21" r:id="rId19" xr:uid="{9E6CE64F-42BB-4349-8C52-4F786C099E9F}"/>
    <hyperlink ref="B11" r:id="rId20" xr:uid="{E2CE4B0C-2C31-4101-924B-FA34C9B96D8B}"/>
    <hyperlink ref="B10" r:id="rId21" xr:uid="{E5F7519E-1CFD-4EFE-8008-1DCF3D856628}"/>
    <hyperlink ref="B16" r:id="rId22" xr:uid="{A74FC163-9C20-47DC-B816-E4216FC48078}"/>
    <hyperlink ref="B18" r:id="rId23" xr:uid="{59755484-8087-4CE4-818B-F400662B180B}"/>
    <hyperlink ref="B15" r:id="rId24" xr:uid="{6091812A-5BFD-454E-9BDF-021AE31D0735}"/>
    <hyperlink ref="B9" r:id="rId25" xr:uid="{49F94D3E-7630-41F1-933B-7EFDA2E44919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Ellis</dc:creator>
  <cp:lastModifiedBy>Aaron Ellis</cp:lastModifiedBy>
  <dcterms:created xsi:type="dcterms:W3CDTF">2026-05-21T03:48:00Z</dcterms:created>
  <dcterms:modified xsi:type="dcterms:W3CDTF">2026-09-14T12:59:09Z</dcterms:modified>
</cp:coreProperties>
</file>